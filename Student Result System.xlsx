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0" windowWidth="8580" windowHeight="7090"/>
  </bookViews>
  <sheets>
    <sheet name="Database" sheetId="1" r:id="rId1"/>
    <sheet name="Report Card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21" i="2" l="1"/>
  <c r="H16" i="2"/>
  <c r="I16" i="2" s="1"/>
  <c r="H17" i="2"/>
  <c r="I17" i="2" s="1"/>
  <c r="H18" i="2"/>
  <c r="I18" i="2" s="1"/>
  <c r="H19" i="2"/>
  <c r="I19" i="2" s="1"/>
  <c r="H15" i="2"/>
  <c r="J15" i="2" l="1"/>
  <c r="F22" i="2"/>
  <c r="F23" i="2"/>
  <c r="I15" i="2"/>
  <c r="J22" i="2"/>
  <c r="J23" i="2" s="1"/>
  <c r="J19" i="2"/>
  <c r="J18" i="2"/>
  <c r="J16" i="2"/>
  <c r="J17" i="2"/>
  <c r="E12" i="2"/>
  <c r="E9" i="2"/>
  <c r="E11" i="2"/>
  <c r="E10" i="2"/>
</calcChain>
</file>

<file path=xl/sharedStrings.xml><?xml version="1.0" encoding="utf-8"?>
<sst xmlns="http://schemas.openxmlformats.org/spreadsheetml/2006/main" count="99" uniqueCount="65">
  <si>
    <t>S. NO.</t>
  </si>
  <si>
    <t>Roll No.</t>
  </si>
  <si>
    <t>Student Name</t>
  </si>
  <si>
    <t>Class</t>
  </si>
  <si>
    <t>Father's Name</t>
  </si>
  <si>
    <t>DOB</t>
  </si>
  <si>
    <t>:</t>
  </si>
  <si>
    <t xml:space="preserve">Aarti </t>
  </si>
  <si>
    <t>Annu Sharma</t>
  </si>
  <si>
    <t>Anshika Sain</t>
  </si>
  <si>
    <t>Ankush Sharma</t>
  </si>
  <si>
    <t>Bhavesh yadav</t>
  </si>
  <si>
    <t>Chavi saini</t>
  </si>
  <si>
    <t>Chetan Yadav</t>
  </si>
  <si>
    <t>Devesh Yadav</t>
  </si>
  <si>
    <t>Hitesh Yadav</t>
  </si>
  <si>
    <t>Himanshu Yadav</t>
  </si>
  <si>
    <t>Kirtan Sharma</t>
  </si>
  <si>
    <t xml:space="preserve">Kirti </t>
  </si>
  <si>
    <t>Lokesh Yadav</t>
  </si>
  <si>
    <t>Lovey sain</t>
  </si>
  <si>
    <t>Manish Yadav</t>
  </si>
  <si>
    <t>Niki Yadav</t>
  </si>
  <si>
    <t>Tannu Yadav</t>
  </si>
  <si>
    <t>Yogender sain</t>
  </si>
  <si>
    <t>yogender yogi</t>
  </si>
  <si>
    <t>Devender sharma</t>
  </si>
  <si>
    <t>lokesh sharma</t>
  </si>
  <si>
    <t>Lovesh Sain</t>
  </si>
  <si>
    <t>Nikhil Sharma</t>
  </si>
  <si>
    <t>Vivek Saini</t>
  </si>
  <si>
    <t>Ankit Yadav</t>
  </si>
  <si>
    <t>Monu Yadav</t>
  </si>
  <si>
    <t>Vineet Sharna</t>
  </si>
  <si>
    <t>Nitin Yadav</t>
  </si>
  <si>
    <t>Hitansh Yadav</t>
  </si>
  <si>
    <t>Kavesh Yadav</t>
  </si>
  <si>
    <t>Hinu Yadav</t>
  </si>
  <si>
    <t>Prakash Yadav</t>
  </si>
  <si>
    <t>Jogender</t>
  </si>
  <si>
    <t>Surender Yadav</t>
  </si>
  <si>
    <t>Sandeep Yadav</t>
  </si>
  <si>
    <t>Deepak Yadav</t>
  </si>
  <si>
    <t>Dharm Yadav</t>
  </si>
  <si>
    <t>Nikhil Yadav</t>
  </si>
  <si>
    <t>Virender Yogi</t>
  </si>
  <si>
    <t>Krishan Sain</t>
  </si>
  <si>
    <t>10th</t>
  </si>
  <si>
    <t>11th</t>
  </si>
  <si>
    <t>12th</t>
  </si>
  <si>
    <t>English</t>
  </si>
  <si>
    <t>hindi</t>
  </si>
  <si>
    <t>math</t>
  </si>
  <si>
    <t>Science</t>
  </si>
  <si>
    <t>Music</t>
  </si>
  <si>
    <t>Subject</t>
  </si>
  <si>
    <t>Total Marks</t>
  </si>
  <si>
    <t>Passing Marks</t>
  </si>
  <si>
    <t>Obtained Marks</t>
  </si>
  <si>
    <t>Percentage</t>
  </si>
  <si>
    <t>Pass/Fail</t>
  </si>
  <si>
    <t>Final Result:</t>
  </si>
  <si>
    <t>Grade:</t>
  </si>
  <si>
    <t>CONTROLLER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</si>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</sst>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/>
    <xf numFmtId="14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9" fontId="1" fillId="2" borderId="1" xfId="1" applyFont="1" applyFill="1" applyBorder="1" applyAlignment="1">
      <alignment horizontal="center"/>
    </xf>
    <xf numFmtId="0" fontId="2" fillId="2" borderId="0" xfId="0" applyFont="1" applyFill="1"/>
    <xf numFmtId="0" fontId="1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23091</xdr:rowOff>
    </xdr:from>
    <xdr:to>
      <xdr:col>13</xdr:col>
      <xdr:colOff>34637</xdr:colOff>
      <xdr:row>26</xdr:row>
      <xdr:rowOff>11546</xdr:rowOff>
    </xdr:to>
    <xdr:sp macro="" textlink="">
      <xdr:nvSpPr>
        <xdr:cNvPr id="4" name="Frame 3"/>
        <xdr:cNvSpPr/>
      </xdr:nvSpPr>
      <xdr:spPr>
        <a:xfrm>
          <a:off x="611909" y="207818"/>
          <a:ext cx="7377546" cy="4606637"/>
        </a:xfrm>
        <a:prstGeom prst="frame">
          <a:avLst>
            <a:gd name="adj1" fmla="val 971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357909</xdr:colOff>
      <xdr:row>1</xdr:row>
      <xdr:rowOff>172357</xdr:rowOff>
    </xdr:from>
    <xdr:to>
      <xdr:col>12</xdr:col>
      <xdr:colOff>531091</xdr:colOff>
      <xdr:row>3</xdr:row>
      <xdr:rowOff>54428</xdr:rowOff>
    </xdr:to>
    <xdr:sp macro="" textlink="">
      <xdr:nvSpPr>
        <xdr:cNvPr id="5" name="TextBox 4"/>
        <xdr:cNvSpPr txBox="1"/>
      </xdr:nvSpPr>
      <xdr:spPr>
        <a:xfrm>
          <a:off x="965695" y="353786"/>
          <a:ext cx="6858825" cy="24492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600" b="1">
              <a:solidFill>
                <a:srgbClr val="C00000"/>
              </a:solidFill>
            </a:rPr>
            <a:t>XYZ PUBLIC</a:t>
          </a:r>
          <a:r>
            <a:rPr lang="en-US" sz="1600" b="1" baseline="0">
              <a:solidFill>
                <a:srgbClr val="C00000"/>
              </a:solidFill>
            </a:rPr>
            <a:t> SCHOOL </a:t>
          </a:r>
          <a:endParaRPr lang="en-US" sz="1600" b="1">
            <a:solidFill>
              <a:srgbClr val="C00000"/>
            </a:solidFill>
          </a:endParaRPr>
        </a:p>
      </xdr:txBody>
    </xdr:sp>
    <xdr:clientData/>
  </xdr:twoCellAnchor>
  <xdr:twoCellAnchor>
    <xdr:from>
      <xdr:col>5</xdr:col>
      <xdr:colOff>743857</xdr:colOff>
      <xdr:row>2</xdr:row>
      <xdr:rowOff>63499</xdr:rowOff>
    </xdr:from>
    <xdr:to>
      <xdr:col>11</xdr:col>
      <xdr:colOff>108856</xdr:colOff>
      <xdr:row>4</xdr:row>
      <xdr:rowOff>9071</xdr:rowOff>
    </xdr:to>
    <xdr:sp macro="" textlink="">
      <xdr:nvSpPr>
        <xdr:cNvPr id="6" name="TextBox 5"/>
        <xdr:cNvSpPr txBox="1"/>
      </xdr:nvSpPr>
      <xdr:spPr>
        <a:xfrm>
          <a:off x="3419928" y="426356"/>
          <a:ext cx="4408714" cy="308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>
              <a:solidFill>
                <a:sysClr val="windowText" lastClr="000000"/>
              </a:solidFill>
            </a:rPr>
            <a:t>AMER (NEAR GOVT.</a:t>
          </a:r>
          <a:r>
            <a:rPr lang="en-US" sz="1100" b="1" baseline="0">
              <a:solidFill>
                <a:sysClr val="windowText" lastClr="000000"/>
              </a:solidFill>
            </a:rPr>
            <a:t> HOSPITAL) , JAIPUR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63499</xdr:colOff>
      <xdr:row>1</xdr:row>
      <xdr:rowOff>81642</xdr:rowOff>
    </xdr:from>
    <xdr:to>
      <xdr:col>2</xdr:col>
      <xdr:colOff>253999</xdr:colOff>
      <xdr:row>3</xdr:row>
      <xdr:rowOff>108856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785" y="263071"/>
          <a:ext cx="390071" cy="390071"/>
        </a:xfrm>
        <a:prstGeom prst="rect">
          <a:avLst/>
        </a:prstGeom>
      </xdr:spPr>
    </xdr:pic>
    <xdr:clientData/>
  </xdr:twoCellAnchor>
  <xdr:oneCellAnchor>
    <xdr:from>
      <xdr:col>2</xdr:col>
      <xdr:colOff>175986</xdr:colOff>
      <xdr:row>1</xdr:row>
      <xdr:rowOff>136071</xdr:rowOff>
    </xdr:from>
    <xdr:ext cx="964367" cy="280205"/>
    <xdr:sp macro="" textlink="">
      <xdr:nvSpPr>
        <xdr:cNvPr id="8" name="TextBox 7"/>
        <xdr:cNvSpPr txBox="1"/>
      </xdr:nvSpPr>
      <xdr:spPr>
        <a:xfrm>
          <a:off x="538843" y="317500"/>
          <a:ext cx="96436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i="0"/>
            <a:t>0010101100</a:t>
          </a:r>
        </a:p>
      </xdr:txBody>
    </xdr:sp>
    <xdr:clientData/>
  </xdr:oneCellAnchor>
  <xdr:oneCellAnchor>
    <xdr:from>
      <xdr:col>10</xdr:col>
      <xdr:colOff>390072</xdr:colOff>
      <xdr:row>3</xdr:row>
      <xdr:rowOff>18142</xdr:rowOff>
    </xdr:from>
    <xdr:ext cx="1261756" cy="280205"/>
    <xdr:sp macro="" textlink="">
      <xdr:nvSpPr>
        <xdr:cNvPr id="9" name="TextBox 8"/>
        <xdr:cNvSpPr txBox="1"/>
      </xdr:nvSpPr>
      <xdr:spPr>
        <a:xfrm>
          <a:off x="6023429" y="562428"/>
          <a:ext cx="126175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/>
            <a:t>SESSION 2026-27</a:t>
          </a:r>
        </a:p>
      </xdr:txBody>
    </xdr:sp>
    <xdr:clientData/>
  </xdr:oneCellAnchor>
  <xdr:oneCellAnchor>
    <xdr:from>
      <xdr:col>6</xdr:col>
      <xdr:colOff>244927</xdr:colOff>
      <xdr:row>3</xdr:row>
      <xdr:rowOff>117927</xdr:rowOff>
    </xdr:from>
    <xdr:ext cx="1540102" cy="374141"/>
    <xdr:sp macro="" textlink="">
      <xdr:nvSpPr>
        <xdr:cNvPr id="10" name="TextBox 9"/>
        <xdr:cNvSpPr txBox="1"/>
      </xdr:nvSpPr>
      <xdr:spPr>
        <a:xfrm>
          <a:off x="3755570" y="662213"/>
          <a:ext cx="154010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/>
            <a:t>REPORT</a:t>
          </a:r>
          <a:r>
            <a:rPr lang="en-US" sz="1800" b="1" baseline="0"/>
            <a:t> CARD</a:t>
          </a:r>
          <a:endParaRPr lang="en-US" sz="18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C23" sqref="C23"/>
    </sheetView>
  </sheetViews>
  <sheetFormatPr defaultRowHeight="14.5" x14ac:dyDescent="0.35"/>
  <cols>
    <col min="3" max="3" width="14.81640625" bestFit="1" customWidth="1"/>
    <col min="4" max="4" width="15.7265625" bestFit="1" customWidth="1"/>
    <col min="5" max="5" width="9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 spans="1:11" x14ac:dyDescent="0.35">
      <c r="A2">
        <v>1</v>
      </c>
      <c r="B2">
        <v>101</v>
      </c>
      <c r="C2" t="s">
        <v>7</v>
      </c>
      <c r="D2" t="s">
        <v>26</v>
      </c>
      <c r="E2" s="5">
        <v>39052</v>
      </c>
      <c r="F2" t="s">
        <v>47</v>
      </c>
      <c r="G2">
        <v>89</v>
      </c>
      <c r="H2">
        <v>88</v>
      </c>
      <c r="I2">
        <v>87</v>
      </c>
      <c r="J2">
        <v>86</v>
      </c>
      <c r="K2">
        <v>85</v>
      </c>
    </row>
    <row r="3" spans="1:11" x14ac:dyDescent="0.35">
      <c r="A3">
        <v>2</v>
      </c>
      <c r="B3">
        <v>102</v>
      </c>
      <c r="C3" t="s">
        <v>8</v>
      </c>
      <c r="D3" t="s">
        <v>27</v>
      </c>
      <c r="E3" s="5">
        <v>38658</v>
      </c>
      <c r="F3" t="s">
        <v>48</v>
      </c>
      <c r="G3">
        <v>87</v>
      </c>
      <c r="H3">
        <v>86</v>
      </c>
      <c r="I3">
        <v>85</v>
      </c>
      <c r="J3">
        <v>84</v>
      </c>
      <c r="K3">
        <v>83</v>
      </c>
    </row>
    <row r="4" spans="1:11" x14ac:dyDescent="0.35">
      <c r="A4">
        <v>3</v>
      </c>
      <c r="B4">
        <v>103</v>
      </c>
      <c r="C4" t="s">
        <v>9</v>
      </c>
      <c r="D4" t="s">
        <v>28</v>
      </c>
      <c r="E4" s="5">
        <v>38993</v>
      </c>
      <c r="F4" t="s">
        <v>47</v>
      </c>
      <c r="G4">
        <v>75</v>
      </c>
      <c r="H4">
        <v>56</v>
      </c>
      <c r="I4">
        <v>77</v>
      </c>
      <c r="J4">
        <v>80</v>
      </c>
      <c r="K4">
        <v>74</v>
      </c>
    </row>
    <row r="5" spans="1:11" x14ac:dyDescent="0.35">
      <c r="A5">
        <v>4</v>
      </c>
      <c r="B5">
        <v>104</v>
      </c>
      <c r="C5" t="s">
        <v>10</v>
      </c>
      <c r="D5" t="s">
        <v>29</v>
      </c>
      <c r="E5" s="5">
        <v>38234</v>
      </c>
      <c r="F5" t="s">
        <v>49</v>
      </c>
      <c r="G5">
        <v>87</v>
      </c>
      <c r="H5">
        <v>88</v>
      </c>
      <c r="I5">
        <v>89</v>
      </c>
      <c r="J5">
        <v>90</v>
      </c>
      <c r="K5">
        <v>91</v>
      </c>
    </row>
    <row r="6" spans="1:11" x14ac:dyDescent="0.35">
      <c r="A6">
        <v>5</v>
      </c>
      <c r="B6">
        <v>105</v>
      </c>
      <c r="C6" t="s">
        <v>11</v>
      </c>
      <c r="D6" t="s">
        <v>34</v>
      </c>
      <c r="E6" s="5">
        <v>38569</v>
      </c>
      <c r="F6" t="s">
        <v>48</v>
      </c>
      <c r="G6">
        <v>56</v>
      </c>
      <c r="H6">
        <v>55</v>
      </c>
      <c r="I6">
        <v>54</v>
      </c>
      <c r="J6">
        <v>53</v>
      </c>
      <c r="K6">
        <v>52</v>
      </c>
    </row>
    <row r="7" spans="1:11" x14ac:dyDescent="0.35">
      <c r="A7">
        <v>6</v>
      </c>
      <c r="B7">
        <v>106</v>
      </c>
      <c r="C7" t="s">
        <v>12</v>
      </c>
      <c r="D7" t="s">
        <v>30</v>
      </c>
      <c r="E7" s="5">
        <v>39052</v>
      </c>
      <c r="F7" t="s">
        <v>47</v>
      </c>
      <c r="G7">
        <v>44</v>
      </c>
      <c r="H7">
        <v>40</v>
      </c>
      <c r="I7">
        <v>36</v>
      </c>
      <c r="J7">
        <v>32</v>
      </c>
      <c r="K7">
        <v>28</v>
      </c>
    </row>
    <row r="8" spans="1:11" x14ac:dyDescent="0.35">
      <c r="A8">
        <v>7</v>
      </c>
      <c r="B8">
        <v>107</v>
      </c>
      <c r="C8" t="s">
        <v>13</v>
      </c>
      <c r="D8" t="s">
        <v>35</v>
      </c>
      <c r="E8" s="5">
        <v>38658</v>
      </c>
      <c r="F8" t="s">
        <v>48</v>
      </c>
      <c r="G8">
        <v>64</v>
      </c>
      <c r="H8">
        <v>63</v>
      </c>
      <c r="I8">
        <v>62</v>
      </c>
      <c r="J8">
        <v>61</v>
      </c>
      <c r="K8">
        <v>60</v>
      </c>
    </row>
    <row r="9" spans="1:11" x14ac:dyDescent="0.35">
      <c r="A9">
        <v>8</v>
      </c>
      <c r="B9">
        <v>108</v>
      </c>
      <c r="C9" t="s">
        <v>14</v>
      </c>
      <c r="D9" t="s">
        <v>31</v>
      </c>
      <c r="E9" s="5">
        <v>38993</v>
      </c>
      <c r="F9" t="s">
        <v>49</v>
      </c>
      <c r="G9">
        <v>64</v>
      </c>
      <c r="H9">
        <v>67</v>
      </c>
      <c r="I9">
        <v>70</v>
      </c>
      <c r="J9">
        <v>73</v>
      </c>
      <c r="K9">
        <v>76</v>
      </c>
    </row>
    <row r="10" spans="1:11" x14ac:dyDescent="0.35">
      <c r="A10">
        <v>9</v>
      </c>
      <c r="B10">
        <v>109</v>
      </c>
      <c r="C10" t="s">
        <v>15</v>
      </c>
      <c r="D10" t="s">
        <v>36</v>
      </c>
      <c r="E10" s="5">
        <v>38234</v>
      </c>
      <c r="F10" t="s">
        <v>49</v>
      </c>
      <c r="G10">
        <v>22</v>
      </c>
      <c r="H10">
        <v>24</v>
      </c>
      <c r="I10">
        <v>26</v>
      </c>
      <c r="J10">
        <v>28</v>
      </c>
      <c r="K10">
        <v>30</v>
      </c>
    </row>
    <row r="11" spans="1:11" x14ac:dyDescent="0.35">
      <c r="A11">
        <v>10</v>
      </c>
      <c r="B11">
        <v>110</v>
      </c>
      <c r="C11" t="s">
        <v>37</v>
      </c>
      <c r="D11" t="s">
        <v>38</v>
      </c>
      <c r="E11" s="5">
        <v>38569</v>
      </c>
      <c r="F11" t="s">
        <v>47</v>
      </c>
      <c r="G11">
        <v>32</v>
      </c>
      <c r="H11">
        <v>34</v>
      </c>
      <c r="I11">
        <v>36</v>
      </c>
      <c r="J11">
        <v>38</v>
      </c>
      <c r="K11">
        <v>40</v>
      </c>
    </row>
    <row r="12" spans="1:11" x14ac:dyDescent="0.35">
      <c r="A12">
        <v>11</v>
      </c>
      <c r="B12">
        <v>111</v>
      </c>
      <c r="C12" t="s">
        <v>16</v>
      </c>
      <c r="D12" t="s">
        <v>32</v>
      </c>
      <c r="E12" s="5">
        <v>39052</v>
      </c>
      <c r="F12" t="s">
        <v>48</v>
      </c>
      <c r="G12">
        <v>34</v>
      </c>
      <c r="H12">
        <v>33</v>
      </c>
      <c r="I12">
        <v>32</v>
      </c>
      <c r="J12">
        <v>31</v>
      </c>
      <c r="K12">
        <v>30</v>
      </c>
    </row>
    <row r="13" spans="1:11" x14ac:dyDescent="0.35">
      <c r="A13">
        <v>12</v>
      </c>
      <c r="B13">
        <v>112</v>
      </c>
      <c r="C13" t="s">
        <v>17</v>
      </c>
      <c r="D13" t="s">
        <v>33</v>
      </c>
      <c r="E13" s="5">
        <v>38658</v>
      </c>
      <c r="F13" t="s">
        <v>49</v>
      </c>
      <c r="G13">
        <v>56</v>
      </c>
      <c r="H13">
        <v>60</v>
      </c>
      <c r="I13">
        <v>64</v>
      </c>
      <c r="J13">
        <v>68</v>
      </c>
      <c r="K13">
        <v>72</v>
      </c>
    </row>
    <row r="14" spans="1:11" x14ac:dyDescent="0.35">
      <c r="A14">
        <v>13</v>
      </c>
      <c r="B14">
        <v>113</v>
      </c>
      <c r="C14" t="s">
        <v>18</v>
      </c>
      <c r="D14" t="s">
        <v>39</v>
      </c>
      <c r="E14" s="5">
        <v>38993</v>
      </c>
      <c r="F14" t="s">
        <v>47</v>
      </c>
      <c r="G14">
        <v>65</v>
      </c>
      <c r="H14">
        <v>68</v>
      </c>
      <c r="I14">
        <v>71</v>
      </c>
      <c r="J14">
        <v>74</v>
      </c>
      <c r="K14">
        <v>77</v>
      </c>
    </row>
    <row r="15" spans="1:11" x14ac:dyDescent="0.35">
      <c r="A15">
        <v>14</v>
      </c>
      <c r="B15">
        <v>114</v>
      </c>
      <c r="C15" t="s">
        <v>19</v>
      </c>
      <c r="D15" t="s">
        <v>40</v>
      </c>
      <c r="E15" s="5">
        <v>38234</v>
      </c>
      <c r="F15" t="s">
        <v>48</v>
      </c>
      <c r="G15">
        <v>98</v>
      </c>
      <c r="H15">
        <v>97</v>
      </c>
      <c r="I15">
        <v>96</v>
      </c>
      <c r="J15">
        <v>95</v>
      </c>
      <c r="K15">
        <v>94</v>
      </c>
    </row>
    <row r="16" spans="1:11" x14ac:dyDescent="0.35">
      <c r="A16">
        <v>15</v>
      </c>
      <c r="B16">
        <v>115</v>
      </c>
      <c r="C16" t="s">
        <v>20</v>
      </c>
      <c r="D16" t="s">
        <v>41</v>
      </c>
      <c r="E16" s="5">
        <v>38569</v>
      </c>
      <c r="F16" t="s">
        <v>49</v>
      </c>
      <c r="G16">
        <v>78</v>
      </c>
      <c r="H16">
        <v>77</v>
      </c>
      <c r="I16">
        <v>76</v>
      </c>
      <c r="J16">
        <v>75</v>
      </c>
      <c r="K16">
        <v>74</v>
      </c>
    </row>
    <row r="17" spans="1:11" x14ac:dyDescent="0.35">
      <c r="A17">
        <v>16</v>
      </c>
      <c r="B17">
        <v>116</v>
      </c>
      <c r="C17" t="s">
        <v>21</v>
      </c>
      <c r="D17" t="s">
        <v>42</v>
      </c>
      <c r="E17" s="5">
        <v>39052</v>
      </c>
      <c r="F17" t="s">
        <v>47</v>
      </c>
      <c r="G17">
        <v>98</v>
      </c>
      <c r="H17">
        <v>97</v>
      </c>
      <c r="I17">
        <v>96</v>
      </c>
      <c r="J17">
        <v>95</v>
      </c>
      <c r="K17">
        <v>94</v>
      </c>
    </row>
    <row r="18" spans="1:11" x14ac:dyDescent="0.35">
      <c r="A18">
        <v>17</v>
      </c>
      <c r="B18">
        <v>117</v>
      </c>
      <c r="C18" t="s">
        <v>22</v>
      </c>
      <c r="D18" t="s">
        <v>43</v>
      </c>
      <c r="E18" s="5">
        <v>38658</v>
      </c>
      <c r="F18" t="s">
        <v>48</v>
      </c>
      <c r="G18">
        <v>66</v>
      </c>
      <c r="H18">
        <v>63</v>
      </c>
      <c r="I18">
        <v>60</v>
      </c>
      <c r="J18">
        <v>57</v>
      </c>
      <c r="K18">
        <v>54</v>
      </c>
    </row>
    <row r="19" spans="1:11" x14ac:dyDescent="0.35">
      <c r="A19">
        <v>18</v>
      </c>
      <c r="B19">
        <v>118</v>
      </c>
      <c r="C19" t="s">
        <v>23</v>
      </c>
      <c r="D19" t="s">
        <v>44</v>
      </c>
      <c r="E19" s="5">
        <v>38993</v>
      </c>
      <c r="F19" t="s">
        <v>49</v>
      </c>
      <c r="G19">
        <v>54</v>
      </c>
      <c r="H19">
        <v>56</v>
      </c>
      <c r="I19">
        <v>58</v>
      </c>
      <c r="J19">
        <v>60</v>
      </c>
      <c r="K19">
        <v>62</v>
      </c>
    </row>
    <row r="20" spans="1:11" x14ac:dyDescent="0.35">
      <c r="A20">
        <v>19</v>
      </c>
      <c r="B20">
        <v>119</v>
      </c>
      <c r="C20" t="s">
        <v>24</v>
      </c>
      <c r="D20" t="s">
        <v>46</v>
      </c>
      <c r="E20" s="5">
        <v>38234</v>
      </c>
      <c r="F20" t="s">
        <v>47</v>
      </c>
      <c r="G20">
        <v>98</v>
      </c>
      <c r="H20">
        <v>94</v>
      </c>
      <c r="I20">
        <v>90</v>
      </c>
      <c r="J20">
        <v>86</v>
      </c>
      <c r="K20">
        <v>82</v>
      </c>
    </row>
    <row r="21" spans="1:11" x14ac:dyDescent="0.35">
      <c r="A21">
        <v>20</v>
      </c>
      <c r="B21">
        <v>120</v>
      </c>
      <c r="C21" t="s">
        <v>25</v>
      </c>
      <c r="D21" t="s">
        <v>45</v>
      </c>
      <c r="E21" s="5">
        <v>38569</v>
      </c>
      <c r="F21" t="s">
        <v>48</v>
      </c>
      <c r="G21">
        <v>100</v>
      </c>
      <c r="H21">
        <v>100</v>
      </c>
      <c r="I21">
        <v>100</v>
      </c>
      <c r="J21">
        <v>100</v>
      </c>
      <c r="K21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6"/>
  <sheetViews>
    <sheetView zoomScale="70" zoomScaleNormal="70" workbookViewId="0">
      <selection activeCell="E8" sqref="E8"/>
    </sheetView>
  </sheetViews>
  <sheetFormatPr defaultRowHeight="14.5" x14ac:dyDescent="0.35"/>
  <cols>
    <col min="1" max="1" width="2.36328125" customWidth="1"/>
    <col min="2" max="2" width="2.90625" customWidth="1"/>
    <col min="3" max="3" width="15.08984375" customWidth="1"/>
    <col min="4" max="4" width="3" customWidth="1"/>
    <col min="5" max="5" width="15" bestFit="1" customWidth="1"/>
    <col min="6" max="6" width="14.90625" bestFit="1" customWidth="1"/>
    <col min="7" max="7" width="14.36328125" bestFit="1" customWidth="1"/>
    <col min="8" max="9" width="16.1796875" bestFit="1" customWidth="1"/>
    <col min="10" max="10" width="9.1796875" bestFit="1" customWidth="1"/>
    <col min="13" max="13" width="11" bestFit="1" customWidth="1"/>
  </cols>
  <sheetData>
    <row r="2" spans="2:13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3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ht="18.5" x14ac:dyDescent="0.45">
      <c r="B8" s="1"/>
      <c r="C8" s="2" t="s">
        <v>1</v>
      </c>
      <c r="D8" s="2" t="s">
        <v>6</v>
      </c>
      <c r="E8" s="3">
        <v>120</v>
      </c>
      <c r="F8" s="1"/>
      <c r="G8" s="1"/>
      <c r="H8" s="1"/>
      <c r="I8" s="1"/>
      <c r="J8" s="1"/>
      <c r="K8" s="1"/>
      <c r="L8" s="1"/>
      <c r="M8" s="1"/>
    </row>
    <row r="9" spans="2:13" ht="15.5" x14ac:dyDescent="0.35">
      <c r="B9" s="1"/>
      <c r="C9" s="2" t="s">
        <v>3</v>
      </c>
      <c r="D9" s="2" t="s">
        <v>6</v>
      </c>
      <c r="E9" s="4" t="str">
        <f>VLOOKUP($E$8,Database!$B$2:$K$21,5,0)</f>
        <v>11th</v>
      </c>
      <c r="F9" s="1"/>
      <c r="G9" s="1"/>
      <c r="H9" s="1"/>
      <c r="I9" s="1"/>
      <c r="J9" s="1"/>
      <c r="K9" s="1"/>
      <c r="L9" s="1"/>
      <c r="M9" s="1"/>
    </row>
    <row r="10" spans="2:13" ht="15.5" x14ac:dyDescent="0.35">
      <c r="B10" s="1"/>
      <c r="C10" s="2" t="s">
        <v>2</v>
      </c>
      <c r="D10" s="2" t="s">
        <v>6</v>
      </c>
      <c r="E10" s="4" t="str">
        <f>VLOOKUP($E$8,Database!$B$2:$K$21,2,0)</f>
        <v>yogender yogi</v>
      </c>
      <c r="F10" s="1"/>
      <c r="G10" s="1"/>
      <c r="H10" s="1"/>
      <c r="I10" s="1"/>
      <c r="J10" s="1"/>
      <c r="K10" s="1"/>
      <c r="L10" s="1"/>
      <c r="M10" s="1"/>
    </row>
    <row r="11" spans="2:13" ht="15.5" x14ac:dyDescent="0.35">
      <c r="B11" s="1"/>
      <c r="C11" s="2" t="s">
        <v>4</v>
      </c>
      <c r="D11" s="2" t="s">
        <v>6</v>
      </c>
      <c r="E11" s="4" t="str">
        <f>VLOOKUP($E$8,Database!$B$2:$K$21,3,0)</f>
        <v>Virender Yogi</v>
      </c>
      <c r="F11" s="1"/>
      <c r="G11" s="1"/>
      <c r="H11" s="1"/>
      <c r="I11" s="1"/>
      <c r="J11" s="1"/>
      <c r="K11" s="1"/>
      <c r="L11" s="1"/>
      <c r="M11" s="1"/>
    </row>
    <row r="12" spans="2:13" ht="15.5" x14ac:dyDescent="0.35">
      <c r="B12" s="1"/>
      <c r="C12" s="2" t="s">
        <v>5</v>
      </c>
      <c r="D12" s="2" t="s">
        <v>6</v>
      </c>
      <c r="E12" s="6">
        <f>VLOOKUP($E$8,Database!$B$2:$K$21,4,0)</f>
        <v>38569</v>
      </c>
      <c r="F12" s="1"/>
      <c r="G12" s="1"/>
      <c r="H12" s="1"/>
      <c r="I12" s="1"/>
      <c r="J12" s="1"/>
      <c r="K12" s="1"/>
      <c r="L12" s="1"/>
      <c r="M12" s="1"/>
    </row>
    <row r="13" spans="2:13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3" ht="15.5" x14ac:dyDescent="0.35">
      <c r="B14" s="1"/>
      <c r="C14" s="1"/>
      <c r="D14" s="1"/>
      <c r="E14" s="7" t="s">
        <v>55</v>
      </c>
      <c r="F14" s="7" t="s">
        <v>56</v>
      </c>
      <c r="G14" s="7" t="s">
        <v>57</v>
      </c>
      <c r="H14" s="7" t="s">
        <v>58</v>
      </c>
      <c r="I14" s="7" t="s">
        <v>59</v>
      </c>
      <c r="J14" s="7" t="s">
        <v>60</v>
      </c>
      <c r="K14" s="1"/>
      <c r="L14" s="1"/>
      <c r="M14" s="1"/>
    </row>
    <row r="15" spans="2:13" ht="15.5" x14ac:dyDescent="0.35">
      <c r="B15" s="1"/>
      <c r="C15" s="1"/>
      <c r="D15" s="1"/>
      <c r="E15" s="7" t="s">
        <v>50</v>
      </c>
      <c r="F15" s="8">
        <v>100</v>
      </c>
      <c r="G15" s="7">
        <v>33</v>
      </c>
      <c r="H15" s="7">
        <f>VLOOKUP($E$8,Database!$B$2:$K$21,MATCH('Report Card'!E15,Database!$B$1:$K$1,0),0)</f>
        <v>100</v>
      </c>
      <c r="I15" s="9">
        <f>H15/F15</f>
        <v>1</v>
      </c>
      <c r="J15" s="7" t="str">
        <f>IF(H15&lt;G15,"FAIL","PASS")</f>
        <v>PASS</v>
      </c>
      <c r="K15" s="1"/>
      <c r="L15" s="1"/>
      <c r="M15" s="1"/>
    </row>
    <row r="16" spans="2:13" ht="15.5" x14ac:dyDescent="0.35">
      <c r="B16" s="1"/>
      <c r="C16" s="1"/>
      <c r="D16" s="1"/>
      <c r="E16" s="7" t="s">
        <v>51</v>
      </c>
      <c r="F16" s="8">
        <v>100</v>
      </c>
      <c r="G16" s="7">
        <v>33</v>
      </c>
      <c r="H16" s="7">
        <f>VLOOKUP($E$8,Database!$B$2:$K$21,MATCH('Report Card'!E16,Database!$B$1:$K$1,0),0)</f>
        <v>100</v>
      </c>
      <c r="I16" s="9">
        <f t="shared" ref="I16:I19" si="0">H16/F16</f>
        <v>1</v>
      </c>
      <c r="J16" s="7" t="str">
        <f t="shared" ref="J16:J19" si="1">IF(H16&lt;G16,"FAIL","PASS")</f>
        <v>PASS</v>
      </c>
      <c r="K16" s="1"/>
      <c r="L16" s="1"/>
      <c r="M16" s="1"/>
    </row>
    <row r="17" spans="2:13" ht="15.5" x14ac:dyDescent="0.35">
      <c r="B17" s="1"/>
      <c r="C17" s="1"/>
      <c r="D17" s="1"/>
      <c r="E17" s="7" t="s">
        <v>52</v>
      </c>
      <c r="F17" s="8">
        <v>100</v>
      </c>
      <c r="G17" s="7">
        <v>33</v>
      </c>
      <c r="H17" s="7">
        <f>VLOOKUP($E$8,Database!$B$2:$K$21,MATCH('Report Card'!E17,Database!$B$1:$K$1,0),0)</f>
        <v>100</v>
      </c>
      <c r="I17" s="9">
        <f t="shared" si="0"/>
        <v>1</v>
      </c>
      <c r="J17" s="7" t="str">
        <f t="shared" si="1"/>
        <v>PASS</v>
      </c>
      <c r="K17" s="1"/>
      <c r="L17" s="1"/>
      <c r="M17" s="1"/>
    </row>
    <row r="18" spans="2:13" ht="15.5" x14ac:dyDescent="0.35">
      <c r="B18" s="1"/>
      <c r="C18" s="1"/>
      <c r="D18" s="1"/>
      <c r="E18" s="7" t="s">
        <v>53</v>
      </c>
      <c r="F18" s="8">
        <v>100</v>
      </c>
      <c r="G18" s="7">
        <v>33</v>
      </c>
      <c r="H18" s="7">
        <f>VLOOKUP($E$8,Database!$B$2:$K$21,MATCH('Report Card'!E18,Database!$B$1:$K$1,0),0)</f>
        <v>100</v>
      </c>
      <c r="I18" s="9">
        <f t="shared" si="0"/>
        <v>1</v>
      </c>
      <c r="J18" s="7" t="str">
        <f t="shared" si="1"/>
        <v>PASS</v>
      </c>
      <c r="K18" s="1"/>
      <c r="L18" s="1"/>
      <c r="M18" s="1"/>
    </row>
    <row r="19" spans="2:13" ht="15.5" x14ac:dyDescent="0.35">
      <c r="B19" s="1"/>
      <c r="C19" s="1"/>
      <c r="D19" s="1"/>
      <c r="E19" s="7" t="s">
        <v>54</v>
      </c>
      <c r="F19" s="8">
        <v>100</v>
      </c>
      <c r="G19" s="7">
        <v>33</v>
      </c>
      <c r="H19" s="7">
        <f>VLOOKUP($E$8,Database!$B$2:$K$21,MATCH('Report Card'!E19,Database!$B$1:$K$1,0),0)</f>
        <v>99</v>
      </c>
      <c r="I19" s="9">
        <f t="shared" si="0"/>
        <v>0.99</v>
      </c>
      <c r="J19" s="7" t="str">
        <f t="shared" si="1"/>
        <v>PASS</v>
      </c>
      <c r="K19" s="1"/>
      <c r="L19" s="1"/>
      <c r="M19" s="1"/>
    </row>
    <row r="20" spans="2:13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ht="15.5" x14ac:dyDescent="0.35">
      <c r="B21" s="1"/>
      <c r="C21" s="1"/>
      <c r="D21" s="1"/>
      <c r="E21" s="1"/>
      <c r="F21" s="1"/>
      <c r="G21" s="1"/>
      <c r="H21" s="1"/>
      <c r="I21" s="7" t="s">
        <v>56</v>
      </c>
      <c r="J21" s="7">
        <f>SUM(F15:F19)</f>
        <v>500</v>
      </c>
      <c r="K21" s="1"/>
      <c r="L21" s="1"/>
      <c r="M21" s="1"/>
    </row>
    <row r="22" spans="2:13" ht="15.5" x14ac:dyDescent="0.35">
      <c r="B22" s="1"/>
      <c r="C22" s="1"/>
      <c r="D22" s="1"/>
      <c r="E22" s="2" t="s">
        <v>61</v>
      </c>
      <c r="F22" s="2" t="str">
        <f>IF(COUNTIF(H15:H19,"&lt;33")=0,"PASS",
IF(COUNTIF(H15:H19,"&lt;33")=1,"PASS (GRACE)","FAIL"))</f>
        <v>PASS</v>
      </c>
      <c r="G22" s="1"/>
      <c r="H22" s="1"/>
      <c r="I22" s="7" t="s">
        <v>58</v>
      </c>
      <c r="J22" s="7">
        <f>SUM(H15:H19)</f>
        <v>499</v>
      </c>
      <c r="K22" s="1"/>
      <c r="L22" s="1"/>
      <c r="M22" s="1"/>
    </row>
    <row r="23" spans="2:13" ht="18.5" x14ac:dyDescent="0.45">
      <c r="B23" s="1"/>
      <c r="C23" s="1"/>
      <c r="D23" s="1"/>
      <c r="E23" s="10" t="s">
        <v>62</v>
      </c>
      <c r="F23" s="10" t="str">
        <f>IF(COUNTIF(H15:H19,"&lt;33")&gt;1,"FAIL",
IF(COUNTIF(H15:H19,"&lt;33")=1,"PASS BY GRACE",
IF(AVERAGE(H15:H19)&gt;=60,"1st Division",
IF(AVERAGE(H15:H19)&gt;=45,"2nd Division",
IF(AVERAGE(H15:H19)&gt;=33,"3rd Division","FAIL")))))</f>
        <v>1st Division</v>
      </c>
      <c r="G23" s="1"/>
      <c r="H23" s="1"/>
      <c r="I23" s="7" t="s">
        <v>59</v>
      </c>
      <c r="J23" s="11">
        <f>(J22/J21)*100</f>
        <v>99.8</v>
      </c>
      <c r="K23" s="1"/>
      <c r="L23" s="1"/>
      <c r="M23" s="1"/>
    </row>
    <row r="24" spans="2:13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ht="15.5" x14ac:dyDescent="0.35">
      <c r="B25" s="1"/>
      <c r="C25" s="2" t="s">
        <v>63</v>
      </c>
      <c r="D25" s="1"/>
      <c r="E25" s="1"/>
      <c r="F25" s="1"/>
      <c r="G25" s="1"/>
      <c r="H25" s="1"/>
      <c r="I25" s="1"/>
      <c r="J25" s="1"/>
      <c r="K25" s="1"/>
      <c r="L25" s="1"/>
      <c r="M25" s="2" t="s">
        <v>64</v>
      </c>
    </row>
    <row r="26" spans="2:13" ht="15.5" x14ac:dyDescent="0.35"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Database!$B$1:$B$21</xm:f>
          </x14:formula1>
          <xm:sqref>E8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Report Card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2026-03-29T09:16:36Z</dcterms:created>
  <dcterms:modified xsi:type="dcterms:W3CDTF">2026-03-29T12:21:48Z</dcterms:modified>
</cp:coreProperties>
</file>